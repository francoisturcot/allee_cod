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COTTEFR\Desktop\allee\cod\"/>
    </mc:Choice>
  </mc:AlternateContent>
  <xr:revisionPtr revIDLastSave="0" documentId="13_ncr:1_{EFCE6C95-F500-44BF-AC01-EBEBC5060463}" xr6:coauthVersionLast="47" xr6:coauthVersionMax="47" xr10:uidLastSave="{00000000-0000-0000-0000-000000000000}"/>
  <bookViews>
    <workbookView xWindow="-120" yWindow="-120" windowWidth="29040" windowHeight="15720" xr2:uid="{A578B218-9742-4393-8853-20358449DD5B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" l="1"/>
  <c r="U12" i="1"/>
</calcChain>
</file>

<file path=xl/sharedStrings.xml><?xml version="1.0" encoding="utf-8"?>
<sst xmlns="http://schemas.openxmlformats.org/spreadsheetml/2006/main" count="124" uniqueCount="80">
  <si>
    <t>stock</t>
  </si>
  <si>
    <t>recovered</t>
  </si>
  <si>
    <t>stocklong</t>
  </si>
  <si>
    <t>2j3kl</t>
  </si>
  <si>
    <t>2j3kl-SPM</t>
  </si>
  <si>
    <t>3Pn4RS</t>
  </si>
  <si>
    <t>3Ps</t>
  </si>
  <si>
    <t>4tvn</t>
  </si>
  <si>
    <t>4tvn-SPM</t>
  </si>
  <si>
    <t>4vsw</t>
  </si>
  <si>
    <t>4X5Y</t>
  </si>
  <si>
    <t>COD1F-XIV</t>
  </si>
  <si>
    <t>COD1IN</t>
  </si>
  <si>
    <t>Atlantic cod NAFO Subarea 1 (inshore)</t>
  </si>
  <si>
    <t>COD3M</t>
  </si>
  <si>
    <t>Atlantic cod Flemish Cap</t>
  </si>
  <si>
    <t>COD3NO</t>
  </si>
  <si>
    <t>Atlantic cod Southern Grand Banks</t>
  </si>
  <si>
    <t>COD5Zjm</t>
  </si>
  <si>
    <t>Atlantic cod NAFO 5Zjm</t>
  </si>
  <si>
    <t>CODBA2224</t>
  </si>
  <si>
    <t>Atlantic cod Western Baltic</t>
  </si>
  <si>
    <t>CODBA2532</t>
  </si>
  <si>
    <t>Atlantic cod Eastern Baltic</t>
  </si>
  <si>
    <t>CODFAPL</t>
  </si>
  <si>
    <t>Atlantic cod Faroe Plateau</t>
  </si>
  <si>
    <t>CODICE</t>
  </si>
  <si>
    <t>Atlantic cod Iceland Grounds</t>
  </si>
  <si>
    <t>CODIIIaW-IV-VIId</t>
  </si>
  <si>
    <t>Atlantic cod ICES 3a(west)-4-7d</t>
  </si>
  <si>
    <t>CODIS</t>
  </si>
  <si>
    <t>Atlantic cod Irish Sea</t>
  </si>
  <si>
    <t>CODKAT</t>
  </si>
  <si>
    <t>Atlantic cod Kattegat</t>
  </si>
  <si>
    <t>CODNEAR</t>
  </si>
  <si>
    <t>Atlantic cod North-East Arctic</t>
  </si>
  <si>
    <t>CODVIa</t>
  </si>
  <si>
    <t>Atlantic cod West of Scotland</t>
  </si>
  <si>
    <t>CODVIIek</t>
  </si>
  <si>
    <t>Atlantic cod Celtic Sea</t>
  </si>
  <si>
    <t>COWCODSCAL</t>
  </si>
  <si>
    <t>Cowcod Southern California</t>
  </si>
  <si>
    <t>LINGCODNPCOAST</t>
  </si>
  <si>
    <t>Lingcod Northern Pacific Coast</t>
  </si>
  <si>
    <t>LINGCODSPCOAST</t>
  </si>
  <si>
    <t>Lingcod Southern Pacific Coast</t>
  </si>
  <si>
    <t>PATCODARGS</t>
  </si>
  <si>
    <t>Patagonian cod Southern Argentina</t>
  </si>
  <si>
    <t>PCODAI</t>
  </si>
  <si>
    <t>Pacific cod Aleutian Islands</t>
  </si>
  <si>
    <t>PCODBS</t>
  </si>
  <si>
    <t>Pacific cod Bering Sea</t>
  </si>
  <si>
    <t>PCODGA</t>
  </si>
  <si>
    <t>Pacific cod Gulf of Alaska</t>
  </si>
  <si>
    <t>PCODNPAC</t>
  </si>
  <si>
    <t>Pacific cod North Pacific</t>
  </si>
  <si>
    <t>yes</t>
  </si>
  <si>
    <t>no</t>
  </si>
  <si>
    <t>note</t>
  </si>
  <si>
    <t>production rate is decreasing with biomass but then increases so regression i likely not significant, check</t>
  </si>
  <si>
    <t>proportion allee recovered</t>
  </si>
  <si>
    <t>proportion non allee recovered</t>
  </si>
  <si>
    <t>what was the strenght of the allee effect</t>
  </si>
  <si>
    <t>Atlantic cod NAFO Division 2J3KL</t>
  </si>
  <si>
    <t>Atlantic cod NAFO Division 2J3KL - longer time series</t>
  </si>
  <si>
    <t>Atlantic cod NAFO Division 3Pn4RS</t>
  </si>
  <si>
    <t>Atlantic cod NAFO Division 3Ps</t>
  </si>
  <si>
    <t>Atlantic cod NAFO Division 4TVn</t>
  </si>
  <si>
    <t>Atlantic cod NAFO Division 4TVn - longer time series</t>
  </si>
  <si>
    <t>Atlantic cod NAFO Division 4VsW</t>
  </si>
  <si>
    <t>Atlantic cod NAFO Division 4X5Y</t>
  </si>
  <si>
    <t>Atlantic cod NAFO Division 1F and ICES 14</t>
  </si>
  <si>
    <t>lm_AIC</t>
  </si>
  <si>
    <t>seg_AIC</t>
  </si>
  <si>
    <t>seg slope1</t>
  </si>
  <si>
    <t>lm slope</t>
  </si>
  <si>
    <t>significant?</t>
  </si>
  <si>
    <t>allee effect</t>
  </si>
  <si>
    <t>crossed allee threshold?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</si>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</sst>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2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64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33" borderId="0" xfId="0" applyFill="1"/>
    <xf numFmtId="17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AF72-877A-4032-8910-1001A606ECE5}">
  <dimension ref="A1:U32"/>
  <sheetViews>
    <sheetView tabSelected="1" workbookViewId="0">
      <selection activeCell="B21" sqref="B21"/>
    </sheetView>
  </sheetViews>
  <sheetFormatPr defaultRowHeight="15" x14ac:dyDescent="0.25"/>
  <cols>
    <col min="1" max="1" width="22" customWidth="1"/>
    <col min="2" max="2" width="67.140625" customWidth="1"/>
    <col min="3" max="3" width="17.140625" customWidth="1"/>
    <col min="4" max="4" width="26.28515625" customWidth="1"/>
    <col min="5" max="5" width="9.140625" customWidth="1"/>
    <col min="6" max="7" width="10.28515625" customWidth="1"/>
    <col min="8" max="8" width="9.5703125" customWidth="1"/>
    <col min="9" max="9" width="12.42578125" customWidth="1"/>
    <col min="10" max="11" width="16.5703125" customWidth="1"/>
  </cols>
  <sheetData>
    <row r="1" spans="1:21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1</v>
      </c>
      <c r="F1" t="s">
        <v>72</v>
      </c>
      <c r="G1" t="s">
        <v>73</v>
      </c>
      <c r="H1" t="s">
        <v>75</v>
      </c>
      <c r="I1" t="s">
        <v>74</v>
      </c>
      <c r="J1" t="s">
        <v>76</v>
      </c>
      <c r="K1" t="s">
        <v>79</v>
      </c>
      <c r="L1" s="1"/>
      <c r="M1" s="1" t="s">
        <v>58</v>
      </c>
    </row>
    <row r="2" spans="1:21" x14ac:dyDescent="0.25">
      <c r="A2" t="s">
        <v>3</v>
      </c>
      <c r="B2" t="s">
        <v>63</v>
      </c>
      <c r="C2" t="s">
        <v>56</v>
      </c>
      <c r="E2" t="s">
        <v>57</v>
      </c>
      <c r="F2" s="3">
        <v>47.686733018949603</v>
      </c>
      <c r="G2" s="3">
        <v>50.3211875734671</v>
      </c>
      <c r="H2" s="2">
        <v>5.2306900549144601E-2</v>
      </c>
      <c r="I2" s="2"/>
    </row>
    <row r="3" spans="1:21" x14ac:dyDescent="0.25">
      <c r="A3" t="s">
        <v>4</v>
      </c>
      <c r="B3" t="s">
        <v>64</v>
      </c>
      <c r="C3" t="s">
        <v>56</v>
      </c>
      <c r="E3" t="s">
        <v>57</v>
      </c>
      <c r="F3" s="3">
        <v>-2182.5635164904902</v>
      </c>
      <c r="G3" s="3">
        <v>-2976.9170108319499</v>
      </c>
      <c r="H3" s="2"/>
      <c r="I3" s="2">
        <v>5.9804528761295703E-2</v>
      </c>
      <c r="K3" s="6">
        <v>0.21256205902689901</v>
      </c>
    </row>
    <row r="4" spans="1:21" x14ac:dyDescent="0.25">
      <c r="A4" t="s">
        <v>5</v>
      </c>
      <c r="B4" t="s">
        <v>65</v>
      </c>
      <c r="C4" t="s">
        <v>56</v>
      </c>
      <c r="E4" t="s">
        <v>57</v>
      </c>
      <c r="F4" s="3">
        <v>-60.0507156966666</v>
      </c>
      <c r="G4" s="3">
        <v>-72.052709659895797</v>
      </c>
      <c r="H4" s="2">
        <v>7.1616674248022497E-2</v>
      </c>
      <c r="I4" s="2"/>
      <c r="K4" s="6"/>
      <c r="M4" t="s">
        <v>59</v>
      </c>
    </row>
    <row r="5" spans="1:21" x14ac:dyDescent="0.25">
      <c r="A5" t="s">
        <v>6</v>
      </c>
      <c r="B5" t="s">
        <v>66</v>
      </c>
      <c r="C5" t="s">
        <v>56</v>
      </c>
      <c r="E5" t="s">
        <v>57</v>
      </c>
      <c r="F5" s="3">
        <v>-49.888865654628198</v>
      </c>
      <c r="G5" s="3">
        <v>-51.456262320562999</v>
      </c>
      <c r="H5" s="2"/>
      <c r="I5" s="2">
        <v>4.8093826695588003E-2</v>
      </c>
      <c r="K5" s="6">
        <v>0.312020120487214</v>
      </c>
    </row>
    <row r="6" spans="1:21" x14ac:dyDescent="0.25">
      <c r="A6" t="s">
        <v>7</v>
      </c>
      <c r="B6" t="s">
        <v>67</v>
      </c>
      <c r="C6" t="s">
        <v>56</v>
      </c>
      <c r="E6" t="s">
        <v>57</v>
      </c>
      <c r="F6" s="3">
        <v>-91.004688070210094</v>
      </c>
      <c r="G6" s="3">
        <v>-110.240918536487</v>
      </c>
      <c r="H6" s="2"/>
      <c r="I6" s="2">
        <v>9.5863994440272104E-2</v>
      </c>
      <c r="K6" s="6">
        <v>0.30618762430117402</v>
      </c>
    </row>
    <row r="7" spans="1:21" x14ac:dyDescent="0.25">
      <c r="A7" t="s">
        <v>8</v>
      </c>
      <c r="B7" t="s">
        <v>68</v>
      </c>
      <c r="C7" t="s">
        <v>56</v>
      </c>
      <c r="E7" t="s">
        <v>57</v>
      </c>
      <c r="F7" s="3">
        <v>-39.164877685190298</v>
      </c>
      <c r="G7" s="3">
        <v>-49.952175126382301</v>
      </c>
      <c r="H7" s="2"/>
      <c r="I7" s="2">
        <v>9.2032035055181802E-2</v>
      </c>
      <c r="K7" s="6">
        <v>0.39649577279007098</v>
      </c>
    </row>
    <row r="8" spans="1:21" x14ac:dyDescent="0.25">
      <c r="A8" t="s">
        <v>9</v>
      </c>
      <c r="B8" t="s">
        <v>69</v>
      </c>
      <c r="C8" t="s">
        <v>56</v>
      </c>
      <c r="E8" t="s">
        <v>57</v>
      </c>
      <c r="F8" s="3">
        <v>-27.694176660536598</v>
      </c>
      <c r="G8" s="3">
        <v>-28.049282352320098</v>
      </c>
      <c r="H8" s="2"/>
      <c r="I8" s="2">
        <v>7.9318188973051804E-2</v>
      </c>
      <c r="K8" s="6">
        <v>0.44263172972391701</v>
      </c>
    </row>
    <row r="9" spans="1:21" x14ac:dyDescent="0.25">
      <c r="A9" t="s">
        <v>10</v>
      </c>
      <c r="B9" t="s">
        <v>70</v>
      </c>
      <c r="C9" t="s">
        <v>56</v>
      </c>
      <c r="E9" t="s">
        <v>57</v>
      </c>
      <c r="F9" s="3">
        <v>-12.0260944988782</v>
      </c>
      <c r="G9" s="3">
        <v>-15.758417220178799</v>
      </c>
      <c r="H9" s="2"/>
      <c r="I9" s="2">
        <v>-2.2822177943512E-2</v>
      </c>
      <c r="K9" s="6"/>
    </row>
    <row r="10" spans="1:21" x14ac:dyDescent="0.25">
      <c r="A10" t="s">
        <v>11</v>
      </c>
      <c r="B10" t="s">
        <v>71</v>
      </c>
      <c r="C10" t="s">
        <v>57</v>
      </c>
      <c r="E10" t="s">
        <v>56</v>
      </c>
      <c r="F10" s="3">
        <v>14.945535739032101</v>
      </c>
      <c r="G10" s="3">
        <v>18.227082810726401</v>
      </c>
      <c r="H10" s="2">
        <v>-9.5741198635564198E-2</v>
      </c>
      <c r="I10" s="2"/>
      <c r="K10" s="6"/>
    </row>
    <row r="11" spans="1:21" x14ac:dyDescent="0.25">
      <c r="A11" t="s">
        <v>12</v>
      </c>
      <c r="B11" t="s">
        <v>13</v>
      </c>
      <c r="C11" t="s">
        <v>56</v>
      </c>
      <c r="E11" t="s">
        <v>56</v>
      </c>
      <c r="F11" s="3">
        <v>3.5767109054128601</v>
      </c>
      <c r="G11" s="3">
        <v>2.0776860791756602</v>
      </c>
      <c r="H11" s="2"/>
      <c r="I11" s="2">
        <v>9.5555729157474595E-2</v>
      </c>
      <c r="K11" s="6">
        <v>0.320049321238909</v>
      </c>
    </row>
    <row r="12" spans="1:21" x14ac:dyDescent="0.25">
      <c r="A12" t="s">
        <v>14</v>
      </c>
      <c r="B12" t="s">
        <v>15</v>
      </c>
      <c r="C12" t="s">
        <v>56</v>
      </c>
      <c r="E12" t="s">
        <v>56</v>
      </c>
      <c r="F12" s="3">
        <v>19.313250475466401</v>
      </c>
      <c r="G12" s="3">
        <v>19.539382022502899</v>
      </c>
      <c r="H12" s="2">
        <v>4.2540169483823199E-2</v>
      </c>
      <c r="I12" s="2">
        <v>0.19793002373202701</v>
      </c>
      <c r="K12" s="6"/>
      <c r="Q12" t="s">
        <v>60</v>
      </c>
      <c r="U12" s="4">
        <f>COUNTIFS(C:C,"yes",E:E,"yes") / COUNTIF(C:C,"yes")</f>
        <v>0.25</v>
      </c>
    </row>
    <row r="13" spans="1:21" x14ac:dyDescent="0.25">
      <c r="A13" t="s">
        <v>16</v>
      </c>
      <c r="B13" t="s">
        <v>17</v>
      </c>
      <c r="C13" t="s">
        <v>57</v>
      </c>
      <c r="E13" t="s">
        <v>57</v>
      </c>
      <c r="F13" s="3">
        <v>98.898631032004204</v>
      </c>
      <c r="G13" s="3">
        <v>91.2648823716316</v>
      </c>
      <c r="H13" s="2"/>
      <c r="I13" s="2">
        <v>-3.60589494011005</v>
      </c>
      <c r="K13" s="6"/>
      <c r="Q13" t="s">
        <v>61</v>
      </c>
      <c r="U13" s="4">
        <f>COUNTIFS(C:C,"no",E:E,"yes") / COUNTIF(C:C,"no")</f>
        <v>0.27272727272727271</v>
      </c>
    </row>
    <row r="14" spans="1:21" x14ac:dyDescent="0.25">
      <c r="A14" t="s">
        <v>18</v>
      </c>
      <c r="B14" t="s">
        <v>19</v>
      </c>
      <c r="C14" t="s">
        <v>57</v>
      </c>
      <c r="E14" t="s">
        <v>57</v>
      </c>
      <c r="F14" s="3">
        <v>6.2022283425702698</v>
      </c>
      <c r="G14" s="3">
        <v>5.213191445154</v>
      </c>
      <c r="H14" s="2"/>
      <c r="I14" s="2">
        <v>-7.6244765835939393E-2</v>
      </c>
      <c r="K14" s="6"/>
    </row>
    <row r="15" spans="1:21" x14ac:dyDescent="0.25">
      <c r="A15" t="s">
        <v>20</v>
      </c>
      <c r="B15" t="s">
        <v>21</v>
      </c>
      <c r="C15" t="s">
        <v>57</v>
      </c>
      <c r="E15" t="s">
        <v>57</v>
      </c>
      <c r="F15" s="3">
        <v>-2.86604109927482</v>
      </c>
      <c r="G15" s="3">
        <v>-1.4921146057088299</v>
      </c>
      <c r="H15" s="2">
        <v>-6.97826773139069E-3</v>
      </c>
      <c r="I15" s="2"/>
      <c r="K15" s="6"/>
      <c r="Q15" t="s">
        <v>62</v>
      </c>
    </row>
    <row r="16" spans="1:21" x14ac:dyDescent="0.25">
      <c r="A16" t="s">
        <v>22</v>
      </c>
      <c r="B16" t="s">
        <v>23</v>
      </c>
      <c r="C16" t="s">
        <v>57</v>
      </c>
      <c r="E16" t="s">
        <v>57</v>
      </c>
      <c r="F16" s="3">
        <v>-47.517282384581101</v>
      </c>
      <c r="G16" s="3">
        <v>-51.081818229171702</v>
      </c>
      <c r="H16" s="2"/>
      <c r="I16" s="2">
        <v>-6.8330408644549201E-2</v>
      </c>
      <c r="K16" s="6"/>
    </row>
    <row r="17" spans="1:11" x14ac:dyDescent="0.25">
      <c r="A17" t="s">
        <v>24</v>
      </c>
      <c r="B17" t="s">
        <v>25</v>
      </c>
      <c r="C17" t="s">
        <v>57</v>
      </c>
      <c r="E17" t="s">
        <v>57</v>
      </c>
      <c r="F17" s="3">
        <v>-9.8130539428670804</v>
      </c>
      <c r="G17" s="3">
        <v>-8.8720473654596503</v>
      </c>
      <c r="H17" s="2">
        <v>-5.5004918650790997E-2</v>
      </c>
      <c r="I17" s="2"/>
      <c r="K17" s="6"/>
    </row>
    <row r="18" spans="1:11" x14ac:dyDescent="0.25">
      <c r="A18" t="s">
        <v>26</v>
      </c>
      <c r="B18" t="s">
        <v>27</v>
      </c>
      <c r="C18" t="s">
        <v>57</v>
      </c>
      <c r="E18" t="s">
        <v>56</v>
      </c>
      <c r="F18" s="3">
        <v>-81.912102529593696</v>
      </c>
      <c r="G18" s="3">
        <v>-80.748604838778604</v>
      </c>
      <c r="H18" s="2">
        <v>-6.5407185521161704E-2</v>
      </c>
      <c r="I18" s="2"/>
      <c r="K18" s="6"/>
    </row>
    <row r="19" spans="1:11" x14ac:dyDescent="0.25">
      <c r="A19" t="s">
        <v>28</v>
      </c>
      <c r="B19" t="s">
        <v>29</v>
      </c>
      <c r="C19" t="s">
        <v>56</v>
      </c>
      <c r="E19" t="s">
        <v>57</v>
      </c>
      <c r="F19" s="3">
        <v>-2.9628142298036102</v>
      </c>
      <c r="G19" s="3">
        <v>-3.4096067437278101</v>
      </c>
      <c r="H19" s="2"/>
      <c r="I19" s="2">
        <v>8.5951603780800703E-2</v>
      </c>
      <c r="K19" s="6">
        <v>0.54938385787357502</v>
      </c>
    </row>
    <row r="20" spans="1:11" x14ac:dyDescent="0.25">
      <c r="A20" t="s">
        <v>30</v>
      </c>
      <c r="B20" t="s">
        <v>31</v>
      </c>
      <c r="C20" t="s">
        <v>57</v>
      </c>
      <c r="E20" t="s">
        <v>57</v>
      </c>
      <c r="F20" s="3">
        <v>-48.583196575675998</v>
      </c>
      <c r="G20" s="3">
        <v>-50.014085242165201</v>
      </c>
      <c r="H20" s="2"/>
      <c r="I20" s="2">
        <v>-0.112315508538919</v>
      </c>
    </row>
    <row r="21" spans="1:11" x14ac:dyDescent="0.25">
      <c r="A21" t="s">
        <v>32</v>
      </c>
      <c r="B21" t="s">
        <v>33</v>
      </c>
      <c r="C21" t="s">
        <v>56</v>
      </c>
      <c r="E21" t="s">
        <v>56</v>
      </c>
      <c r="F21" s="3">
        <v>344.40522647761702</v>
      </c>
      <c r="G21" s="3">
        <v>347.10351153324802</v>
      </c>
      <c r="H21" s="2">
        <v>916.93569727060003</v>
      </c>
      <c r="I21" s="2"/>
    </row>
    <row r="22" spans="1:11" x14ac:dyDescent="0.25">
      <c r="A22" t="s">
        <v>34</v>
      </c>
      <c r="B22" t="s">
        <v>35</v>
      </c>
      <c r="C22" t="s">
        <v>57</v>
      </c>
      <c r="E22" t="s">
        <v>56</v>
      </c>
      <c r="F22" s="3">
        <v>-75.3144533097569</v>
      </c>
      <c r="G22" s="3">
        <v>-71.953828463842896</v>
      </c>
      <c r="H22" s="2">
        <v>-0.103422647504736</v>
      </c>
      <c r="I22" s="2"/>
    </row>
    <row r="23" spans="1:11" x14ac:dyDescent="0.25">
      <c r="A23" t="s">
        <v>36</v>
      </c>
      <c r="B23" t="s">
        <v>37</v>
      </c>
      <c r="C23" t="s">
        <v>57</v>
      </c>
      <c r="E23" t="s">
        <v>57</v>
      </c>
      <c r="F23" s="3">
        <v>20.121900114122901</v>
      </c>
      <c r="G23" s="3">
        <v>10.8915925967985</v>
      </c>
      <c r="H23" s="2"/>
      <c r="I23" s="2">
        <v>-0.18167839123401</v>
      </c>
    </row>
    <row r="24" spans="1:11" x14ac:dyDescent="0.25">
      <c r="A24" t="s">
        <v>38</v>
      </c>
      <c r="B24" t="s">
        <v>39</v>
      </c>
      <c r="C24" t="s">
        <v>57</v>
      </c>
      <c r="E24" t="s">
        <v>57</v>
      </c>
      <c r="F24" s="3">
        <v>8.7995034142031194</v>
      </c>
      <c r="G24" s="3">
        <v>11.1952932985917</v>
      </c>
      <c r="H24" s="2"/>
      <c r="I24" s="2">
        <v>-0.12480015690638099</v>
      </c>
    </row>
    <row r="25" spans="1:11" x14ac:dyDescent="0.25">
      <c r="A25" s="5" t="s">
        <v>40</v>
      </c>
      <c r="B25" s="5" t="s">
        <v>41</v>
      </c>
      <c r="C25" s="5"/>
      <c r="D25" s="5"/>
      <c r="E25" s="5"/>
      <c r="F25" s="5"/>
      <c r="G25" s="5"/>
    </row>
    <row r="26" spans="1:11" x14ac:dyDescent="0.25">
      <c r="A26" s="5" t="s">
        <v>42</v>
      </c>
      <c r="B26" s="5" t="s">
        <v>43</v>
      </c>
      <c r="C26" s="5"/>
      <c r="D26" s="5"/>
      <c r="E26" s="5"/>
      <c r="F26" s="5"/>
      <c r="G26" s="5"/>
    </row>
    <row r="27" spans="1:11" x14ac:dyDescent="0.25">
      <c r="A27" s="5" t="s">
        <v>44</v>
      </c>
      <c r="B27" s="5" t="s">
        <v>45</v>
      </c>
      <c r="C27" s="5"/>
      <c r="D27" s="5"/>
      <c r="E27" s="5"/>
      <c r="F27" s="5"/>
      <c r="G27" s="5"/>
    </row>
    <row r="28" spans="1:11" x14ac:dyDescent="0.25">
      <c r="A28" s="5" t="s">
        <v>46</v>
      </c>
      <c r="B28" s="5" t="s">
        <v>47</v>
      </c>
      <c r="C28" s="5"/>
      <c r="D28" s="5"/>
      <c r="E28" s="5"/>
      <c r="F28" s="5"/>
      <c r="G28" s="5"/>
    </row>
    <row r="29" spans="1:11" x14ac:dyDescent="0.25">
      <c r="A29" s="5" t="s">
        <v>48</v>
      </c>
      <c r="B29" s="5" t="s">
        <v>49</v>
      </c>
      <c r="C29" s="5"/>
      <c r="D29" s="5"/>
      <c r="E29" s="5"/>
      <c r="F29" s="5"/>
      <c r="G29" s="5"/>
    </row>
    <row r="30" spans="1:11" x14ac:dyDescent="0.25">
      <c r="A30" s="5" t="s">
        <v>50</v>
      </c>
      <c r="B30" s="5" t="s">
        <v>51</v>
      </c>
      <c r="C30" s="5"/>
      <c r="D30" s="5"/>
      <c r="E30" s="5"/>
      <c r="F30" s="5"/>
      <c r="G30" s="5"/>
    </row>
    <row r="31" spans="1:11" x14ac:dyDescent="0.25">
      <c r="A31" s="5" t="s">
        <v>52</v>
      </c>
      <c r="B31" s="5" t="s">
        <v>53</v>
      </c>
      <c r="C31" s="5"/>
      <c r="D31" s="5"/>
      <c r="E31" s="5"/>
      <c r="F31" s="5"/>
      <c r="G31" s="5"/>
    </row>
    <row r="32" spans="1:11" x14ac:dyDescent="0.25">
      <c r="A32" s="5" t="s">
        <v>54</v>
      </c>
      <c r="B32" s="5" t="s">
        <v>55</v>
      </c>
      <c r="C32" s="5"/>
      <c r="D32" s="5"/>
      <c r="E32" s="5"/>
      <c r="F32" s="5"/>
      <c r="G32" s="5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Turcotte, François (DFO/MPO)</cp:lastModifiedBy>
  <dcterms:created xsi:type="dcterms:W3CDTF">2025-12-31T14:30:07Z</dcterms:created>
  <dcterms:modified xsi:type="dcterms:W3CDTF">2025-12-31T19:10:31Z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2025-12-31T14:33:31Z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078e8b26-4520-4055-94ff-cee0dde0eba8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